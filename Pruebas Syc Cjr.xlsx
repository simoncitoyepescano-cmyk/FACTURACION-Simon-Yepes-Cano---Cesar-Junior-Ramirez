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te\Downloads\facturacion\"/>
    </mc:Choice>
  </mc:AlternateContent>
  <xr:revisionPtr revIDLastSave="0" documentId="8_{D407B730-2CC6-41C3-9AA6-011A796BD335}" xr6:coauthVersionLast="47" xr6:coauthVersionMax="47" xr10:uidLastSave="{00000000-0000-0000-0000-000000000000}"/>
  <bookViews>
    <workbookView xWindow="-108" yWindow="-108" windowWidth="23256" windowHeight="13896" xr2:uid="{A341539E-57AF-4E9B-8F8B-21FDE69CDD76}"/>
  </bookViews>
  <sheets>
    <sheet name="PRUEB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7" i="1"/>
  <c r="H20" i="1"/>
  <c r="H21" i="1"/>
  <c r="H27" i="1"/>
  <c r="H28" i="1"/>
  <c r="E28" i="1" s="1"/>
  <c r="H29" i="1"/>
  <c r="H6" i="1"/>
  <c r="H7" i="1"/>
  <c r="H8" i="1"/>
  <c r="H9" i="1"/>
  <c r="H10" i="1"/>
  <c r="H11" i="1"/>
  <c r="H12" i="1"/>
  <c r="H13" i="1"/>
  <c r="H14" i="1"/>
  <c r="H15" i="1"/>
  <c r="H16" i="1"/>
  <c r="E6" i="1"/>
  <c r="E7" i="1"/>
  <c r="E8" i="1"/>
  <c r="E9" i="1"/>
  <c r="E10" i="1"/>
  <c r="E11" i="1"/>
  <c r="E14" i="1"/>
  <c r="E15" i="1"/>
  <c r="E16" i="1"/>
  <c r="E12" i="1"/>
  <c r="E13" i="1"/>
  <c r="H5" i="1"/>
  <c r="E5" i="1" s="1"/>
</calcChain>
</file>

<file path=xl/sharedStrings.xml><?xml version="1.0" encoding="utf-8"?>
<sst xmlns="http://schemas.openxmlformats.org/spreadsheetml/2006/main" count="40" uniqueCount="32">
  <si>
    <t>VALORES ENTRADA</t>
  </si>
  <si>
    <t>VALORES SALIDA</t>
  </si>
  <si>
    <t># Servicios</t>
  </si>
  <si>
    <t>Valor Unitario</t>
  </si>
  <si>
    <t>Iva</t>
  </si>
  <si>
    <t>Valor a pagar</t>
  </si>
  <si>
    <t>CASOS DE PRUEBA</t>
  </si>
  <si>
    <t>GAMMA</t>
  </si>
  <si>
    <t>LOCERIA</t>
  </si>
  <si>
    <t>ENKA</t>
  </si>
  <si>
    <t>CRYOGAS_GATEWAYS</t>
  </si>
  <si>
    <t>CLIENTE</t>
  </si>
  <si>
    <t>CRYOGAS_SENSORES</t>
  </si>
  <si>
    <t>CASOS DE ERROR</t>
  </si>
  <si>
    <t>CORLANC_abril</t>
  </si>
  <si>
    <t>  MATERIALES Y PINTURAS SABANETA_abril</t>
  </si>
  <si>
    <t>  MATERIALES Y PINTURAS SABANETA_enero_febrero_marzo</t>
  </si>
  <si>
    <t>CORLANC_enero_febrero_marzo</t>
  </si>
  <si>
    <t>MOLDES ITAGUI_enero_febrero_marzo</t>
  </si>
  <si>
    <t>CALCINACION_enero_febrero_marzo</t>
  </si>
  <si>
    <t>CALCINACION_abril_mayo_junio</t>
  </si>
  <si>
    <t>VALOR UNITARIO</t>
  </si>
  <si>
    <t>CASOS EXTRAORDINARIOS</t>
  </si>
  <si>
    <t>ERROR</t>
  </si>
  <si>
    <t>VALOR ESPERADO</t>
  </si>
  <si>
    <t xml:space="preserve">Si el número de servicios es 0, el cálculo no corresponde al valor esperado </t>
  </si>
  <si>
    <t xml:space="preserve">Si el valor unitario es 0, el cálculo no corresponde al valor esperado </t>
  </si>
  <si>
    <t>Si el valor unitario es negativo, el cálculo no se podra realizar</t>
  </si>
  <si>
    <t xml:space="preserve">Si el numero de servicios es negativo, el cálculo no se podra realizar </t>
  </si>
  <si>
    <t>Servicios_de_demasiada_cantidad</t>
  </si>
  <si>
    <t>Valor_unitario_decimal</t>
  </si>
  <si>
    <t>Valor_unitario_alto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</si>
</sst>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" fontId="5" fillId="0" borderId="0" xfId="0" applyNumberFormat="1" applyFont="1" applyAlignment="1">
      <alignment vertical="center"/>
    </xf>
    <xf numFmtId="0" fontId="6" fillId="0" borderId="0" xfId="0" applyFont="1"/>
    <xf numFmtId="1" fontId="6" fillId="0" borderId="0" xfId="0" applyNumberFormat="1" applyFont="1"/>
    <xf numFmtId="0" fontId="1" fillId="5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1" fontId="5" fillId="6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E7F8-E062-4BF1-92E8-B25DD6E51D05}">
  <dimension ref="A1:T33"/>
  <sheetViews>
    <sheetView tabSelected="1" zoomScale="90" workbookViewId="0">
      <selection activeCell="G34" sqref="G34"/>
    </sheetView>
  </sheetViews>
  <sheetFormatPr defaultColWidth="11.5546875" defaultRowHeight="14.4" x14ac:dyDescent="0.3"/>
  <cols>
    <col min="1" max="1" width="54.88671875" bestFit="1" customWidth="1"/>
    <col min="3" max="3" width="16.44140625" customWidth="1"/>
    <col min="12" max="12" width="12.33203125" customWidth="1"/>
  </cols>
  <sheetData>
    <row r="1" spans="1:13" x14ac:dyDescent="0.3">
      <c r="B1" s="17" t="s">
        <v>6</v>
      </c>
      <c r="C1" s="17"/>
      <c r="D1" s="17"/>
      <c r="E1" s="17"/>
      <c r="F1" s="17"/>
      <c r="G1" s="17"/>
      <c r="H1" s="17"/>
    </row>
    <row r="2" spans="1:13" x14ac:dyDescent="0.3">
      <c r="B2" s="19" t="s">
        <v>0</v>
      </c>
      <c r="C2" s="19"/>
      <c r="D2" s="19"/>
      <c r="E2" s="19" t="s">
        <v>1</v>
      </c>
      <c r="F2" s="19"/>
      <c r="G2" s="19"/>
      <c r="H2" s="19"/>
    </row>
    <row r="3" spans="1:13" x14ac:dyDescent="0.3">
      <c r="A3" s="6" t="s">
        <v>11</v>
      </c>
      <c r="B3" s="5" t="s">
        <v>2</v>
      </c>
      <c r="C3" s="19" t="s">
        <v>3</v>
      </c>
      <c r="D3" s="19"/>
      <c r="E3" s="19" t="s">
        <v>5</v>
      </c>
      <c r="F3" s="19"/>
      <c r="G3" s="19"/>
      <c r="H3" s="5" t="s">
        <v>4</v>
      </c>
    </row>
    <row r="4" spans="1:13" x14ac:dyDescent="0.3">
      <c r="A4" s="1"/>
      <c r="B4" s="1"/>
      <c r="C4" s="1"/>
      <c r="D4" s="1"/>
      <c r="E4" s="1"/>
      <c r="F4" s="1"/>
      <c r="G4" s="1"/>
    </row>
    <row r="5" spans="1:13" x14ac:dyDescent="0.3">
      <c r="A5" s="4" t="s">
        <v>7</v>
      </c>
      <c r="B5" s="4">
        <v>1</v>
      </c>
      <c r="C5" s="16">
        <v>1741500</v>
      </c>
      <c r="D5" s="16"/>
      <c r="E5" s="14">
        <f t="shared" ref="E5:E16" si="0">(C5*B5)+H5</f>
        <v>2072385</v>
      </c>
      <c r="F5" s="14"/>
      <c r="G5" s="14"/>
      <c r="H5" s="2">
        <f t="shared" ref="H5:H29" si="1">(B5*C5)*19%</f>
        <v>330885</v>
      </c>
    </row>
    <row r="6" spans="1:13" x14ac:dyDescent="0.3">
      <c r="A6" s="4" t="s">
        <v>14</v>
      </c>
      <c r="B6" s="4">
        <v>2</v>
      </c>
      <c r="C6" s="14">
        <v>241875</v>
      </c>
      <c r="D6" s="14"/>
      <c r="E6" s="23">
        <f t="shared" si="0"/>
        <v>575662.5</v>
      </c>
      <c r="F6" s="23"/>
      <c r="G6" s="23"/>
      <c r="H6" s="3">
        <f t="shared" si="1"/>
        <v>91912.5</v>
      </c>
    </row>
    <row r="7" spans="1:13" x14ac:dyDescent="0.3">
      <c r="A7" s="4" t="s">
        <v>17</v>
      </c>
      <c r="B7" s="1">
        <v>1</v>
      </c>
      <c r="C7" s="20">
        <v>738958</v>
      </c>
      <c r="D7" s="20"/>
      <c r="E7" s="23">
        <f t="shared" si="0"/>
        <v>879360.02</v>
      </c>
      <c r="F7" s="23"/>
      <c r="G7" s="23"/>
      <c r="H7" s="3">
        <f t="shared" si="1"/>
        <v>140402.01999999999</v>
      </c>
    </row>
    <row r="8" spans="1:13" x14ac:dyDescent="0.3">
      <c r="A8" s="4" t="s">
        <v>8</v>
      </c>
      <c r="B8" s="4">
        <v>1</v>
      </c>
      <c r="C8" s="16">
        <v>3483000</v>
      </c>
      <c r="D8" s="16"/>
      <c r="E8" s="14">
        <f t="shared" si="0"/>
        <v>4144770</v>
      </c>
      <c r="F8" s="14"/>
      <c r="G8" s="14"/>
      <c r="H8" s="3">
        <f t="shared" si="1"/>
        <v>661770</v>
      </c>
    </row>
    <row r="9" spans="1:13" x14ac:dyDescent="0.3">
      <c r="A9" s="4" t="s">
        <v>9</v>
      </c>
      <c r="B9" s="4">
        <v>1</v>
      </c>
      <c r="C9" s="16">
        <v>1680000</v>
      </c>
      <c r="D9" s="16"/>
      <c r="E9" s="14">
        <f t="shared" si="0"/>
        <v>1999200</v>
      </c>
      <c r="F9" s="14"/>
      <c r="G9" s="14"/>
      <c r="H9" s="3">
        <f t="shared" si="1"/>
        <v>319200</v>
      </c>
    </row>
    <row r="10" spans="1:13" x14ac:dyDescent="0.3">
      <c r="A10" s="2" t="s">
        <v>10</v>
      </c>
      <c r="B10" s="4">
        <v>1</v>
      </c>
      <c r="C10" s="21">
        <v>6820000</v>
      </c>
      <c r="D10" s="21"/>
      <c r="E10" s="14">
        <f t="shared" si="0"/>
        <v>8115800</v>
      </c>
      <c r="F10" s="14"/>
      <c r="G10" s="14"/>
      <c r="H10" s="3">
        <f t="shared" si="1"/>
        <v>1295800</v>
      </c>
    </row>
    <row r="11" spans="1:13" x14ac:dyDescent="0.3">
      <c r="A11" s="4" t="s">
        <v>12</v>
      </c>
      <c r="B11" s="4">
        <v>1</v>
      </c>
      <c r="C11" s="21">
        <v>1500000</v>
      </c>
      <c r="D11" s="21"/>
      <c r="E11" s="14">
        <f t="shared" si="0"/>
        <v>1785000</v>
      </c>
      <c r="F11" s="14"/>
      <c r="G11" s="14"/>
      <c r="H11" s="3">
        <f t="shared" si="1"/>
        <v>285000</v>
      </c>
    </row>
    <row r="12" spans="1:13" x14ac:dyDescent="0.3">
      <c r="A12" s="2" t="s">
        <v>15</v>
      </c>
      <c r="B12" s="4">
        <v>1</v>
      </c>
      <c r="C12" s="16">
        <v>411188</v>
      </c>
      <c r="D12" s="16"/>
      <c r="E12" s="14">
        <f t="shared" si="0"/>
        <v>489313.72</v>
      </c>
      <c r="F12" s="14"/>
      <c r="G12" s="14"/>
      <c r="H12" s="3">
        <f t="shared" si="1"/>
        <v>78125.72</v>
      </c>
    </row>
    <row r="13" spans="1:13" x14ac:dyDescent="0.3">
      <c r="A13" s="2" t="s">
        <v>16</v>
      </c>
      <c r="B13" s="3">
        <v>1</v>
      </c>
      <c r="C13" s="16">
        <v>1330123</v>
      </c>
      <c r="D13" s="16"/>
      <c r="E13" s="23">
        <f t="shared" si="0"/>
        <v>1582846.37</v>
      </c>
      <c r="F13" s="23"/>
      <c r="G13" s="23"/>
      <c r="H13" s="3">
        <f t="shared" si="1"/>
        <v>252723.37</v>
      </c>
    </row>
    <row r="14" spans="1:13" x14ac:dyDescent="0.3">
      <c r="A14" s="4" t="s">
        <v>18</v>
      </c>
      <c r="B14" s="4">
        <v>3</v>
      </c>
      <c r="C14" s="14">
        <v>394110</v>
      </c>
      <c r="D14" s="14"/>
      <c r="E14" s="23">
        <f t="shared" si="0"/>
        <v>1406972.7</v>
      </c>
      <c r="F14" s="23"/>
      <c r="G14" s="23"/>
      <c r="H14" s="3">
        <f t="shared" si="1"/>
        <v>224642.7</v>
      </c>
    </row>
    <row r="15" spans="1:13" x14ac:dyDescent="0.3">
      <c r="A15" s="1" t="s">
        <v>19</v>
      </c>
      <c r="B15" s="4">
        <v>3</v>
      </c>
      <c r="C15" s="22">
        <v>1576442</v>
      </c>
      <c r="D15" s="22"/>
      <c r="E15" s="23">
        <f t="shared" si="0"/>
        <v>5627897.9400000004</v>
      </c>
      <c r="F15" s="23"/>
      <c r="G15" s="23"/>
      <c r="H15" s="3">
        <f t="shared" si="1"/>
        <v>898571.94000000006</v>
      </c>
    </row>
    <row r="16" spans="1:13" x14ac:dyDescent="0.3">
      <c r="A16" s="1" t="s">
        <v>20</v>
      </c>
      <c r="B16" s="1">
        <v>3</v>
      </c>
      <c r="C16" s="22">
        <v>145125</v>
      </c>
      <c r="D16" s="22"/>
      <c r="E16" s="23">
        <f t="shared" si="0"/>
        <v>518096.25</v>
      </c>
      <c r="F16" s="23"/>
      <c r="G16" s="23"/>
      <c r="H16" s="3">
        <f t="shared" si="1"/>
        <v>82721.25</v>
      </c>
      <c r="I16" s="8"/>
      <c r="J16" s="8"/>
      <c r="K16" s="8"/>
      <c r="L16" s="8"/>
      <c r="M16" s="9"/>
    </row>
    <row r="17" spans="1:20" x14ac:dyDescent="0.3">
      <c r="A17" s="1"/>
      <c r="B17" s="7"/>
      <c r="C17" s="7"/>
      <c r="D17" s="7"/>
      <c r="E17" s="7"/>
      <c r="F17" s="7"/>
      <c r="G17" s="7"/>
      <c r="H17" s="3"/>
    </row>
    <row r="18" spans="1:20" x14ac:dyDescent="0.3">
      <c r="A18" s="1"/>
      <c r="B18" s="24" t="s">
        <v>13</v>
      </c>
      <c r="C18" s="24"/>
      <c r="D18" s="24"/>
      <c r="E18" s="24"/>
      <c r="F18" s="24"/>
      <c r="G18" s="24"/>
      <c r="H18" s="3"/>
    </row>
    <row r="19" spans="1:20" x14ac:dyDescent="0.3">
      <c r="A19" s="4"/>
      <c r="B19" s="11" t="s">
        <v>2</v>
      </c>
      <c r="C19" s="15" t="s">
        <v>21</v>
      </c>
      <c r="D19" s="15"/>
      <c r="E19" s="15" t="s">
        <v>24</v>
      </c>
      <c r="F19" s="15"/>
      <c r="G19" s="15"/>
      <c r="H19" s="3"/>
    </row>
    <row r="20" spans="1:20" x14ac:dyDescent="0.3">
      <c r="A20" s="4" t="s">
        <v>14</v>
      </c>
      <c r="B20" s="4">
        <v>0</v>
      </c>
      <c r="C20" s="14">
        <v>241875</v>
      </c>
      <c r="D20" s="14"/>
      <c r="E20" s="23" t="s">
        <v>23</v>
      </c>
      <c r="F20" s="23"/>
      <c r="G20" s="23"/>
      <c r="H20" s="3">
        <f t="shared" si="1"/>
        <v>0</v>
      </c>
      <c r="I20" s="10" t="s">
        <v>25</v>
      </c>
      <c r="J20" s="10"/>
      <c r="K20" s="10"/>
      <c r="L20" s="10"/>
      <c r="M20" s="10"/>
      <c r="N20" s="10"/>
      <c r="O20" s="12"/>
      <c r="P20" s="12"/>
      <c r="Q20" s="12"/>
      <c r="R20" s="13"/>
      <c r="S20" s="12"/>
      <c r="T20" s="12"/>
    </row>
    <row r="21" spans="1:20" x14ac:dyDescent="0.3">
      <c r="A21" s="4" t="s">
        <v>9</v>
      </c>
      <c r="B21" s="4">
        <v>1</v>
      </c>
      <c r="C21" s="16">
        <v>0</v>
      </c>
      <c r="D21" s="16"/>
      <c r="E21" s="14" t="s">
        <v>23</v>
      </c>
      <c r="F21" s="14"/>
      <c r="G21" s="14"/>
      <c r="H21" s="3">
        <f t="shared" si="1"/>
        <v>0</v>
      </c>
      <c r="I21" s="10" t="s">
        <v>26</v>
      </c>
      <c r="J21" s="10"/>
      <c r="K21" s="10"/>
      <c r="L21" s="10"/>
      <c r="M21" s="10"/>
      <c r="N21" s="10"/>
      <c r="O21" s="12"/>
      <c r="P21" s="12"/>
      <c r="Q21" s="12"/>
      <c r="R21" s="12"/>
      <c r="S21" s="13"/>
      <c r="T21" s="12"/>
    </row>
    <row r="22" spans="1:20" x14ac:dyDescent="0.3">
      <c r="A22" s="4" t="s">
        <v>14</v>
      </c>
      <c r="B22" s="4">
        <v>-1</v>
      </c>
      <c r="C22" s="14">
        <v>241875</v>
      </c>
      <c r="D22" s="14"/>
      <c r="E22" s="14" t="s">
        <v>23</v>
      </c>
      <c r="F22" s="14"/>
      <c r="G22" s="14"/>
      <c r="H22" s="3">
        <v>0</v>
      </c>
      <c r="I22" s="10" t="s">
        <v>28</v>
      </c>
      <c r="J22" s="10"/>
      <c r="K22" s="10"/>
      <c r="L22" s="10"/>
      <c r="M22" s="10"/>
      <c r="N22" s="10"/>
      <c r="O22" s="12"/>
      <c r="P22" s="12"/>
      <c r="Q22" s="12"/>
      <c r="R22" s="12"/>
      <c r="S22" s="12"/>
      <c r="T22" s="12"/>
    </row>
    <row r="23" spans="1:20" x14ac:dyDescent="0.3">
      <c r="A23" s="4" t="s">
        <v>14</v>
      </c>
      <c r="B23" s="4">
        <v>1</v>
      </c>
      <c r="C23" s="14">
        <v>-241875</v>
      </c>
      <c r="D23" s="14"/>
      <c r="E23" s="14" t="s">
        <v>23</v>
      </c>
      <c r="F23" s="14"/>
      <c r="G23" s="14"/>
      <c r="H23" s="3">
        <v>0</v>
      </c>
      <c r="I23" s="10" t="s">
        <v>27</v>
      </c>
      <c r="J23" s="10"/>
      <c r="K23" s="10"/>
      <c r="L23" s="10"/>
      <c r="M23" s="10"/>
      <c r="N23" s="10"/>
      <c r="O23" s="12"/>
      <c r="P23" s="12"/>
      <c r="Q23" s="12"/>
      <c r="R23" s="12"/>
      <c r="S23" s="12"/>
      <c r="T23" s="12"/>
    </row>
    <row r="24" spans="1:20" x14ac:dyDescent="0.3">
      <c r="H24" s="3"/>
    </row>
    <row r="25" spans="1:20" x14ac:dyDescent="0.3">
      <c r="B25" s="18" t="s">
        <v>22</v>
      </c>
      <c r="C25" s="18"/>
      <c r="D25" s="18"/>
      <c r="E25" s="18"/>
      <c r="F25" s="18"/>
      <c r="G25" s="18"/>
      <c r="H25" s="3"/>
    </row>
    <row r="26" spans="1:20" x14ac:dyDescent="0.3">
      <c r="H26" s="3"/>
    </row>
    <row r="27" spans="1:20" x14ac:dyDescent="0.3">
      <c r="A27" t="s">
        <v>29</v>
      </c>
      <c r="B27" s="1">
        <v>100</v>
      </c>
      <c r="C27" s="22">
        <v>1000</v>
      </c>
      <c r="D27" s="22"/>
      <c r="E27" s="14">
        <f>(C27*B27)+H27</f>
        <v>119000</v>
      </c>
      <c r="F27" s="14"/>
      <c r="G27" s="14"/>
      <c r="H27" s="3">
        <f t="shared" si="1"/>
        <v>19000</v>
      </c>
    </row>
    <row r="28" spans="1:20" x14ac:dyDescent="0.3">
      <c r="A28" t="s">
        <v>30</v>
      </c>
      <c r="B28" s="1">
        <v>2</v>
      </c>
      <c r="C28" s="22">
        <v>1250.5</v>
      </c>
      <c r="D28" s="22"/>
      <c r="E28" s="14">
        <f t="shared" ref="E28:E29" si="2">(C28*B28)+H28</f>
        <v>2976.19</v>
      </c>
      <c r="F28" s="14"/>
      <c r="G28" s="14"/>
      <c r="H28" s="3">
        <f t="shared" si="1"/>
        <v>475.19</v>
      </c>
    </row>
    <row r="29" spans="1:20" x14ac:dyDescent="0.3">
      <c r="A29" t="s">
        <v>31</v>
      </c>
      <c r="B29" s="1">
        <v>1</v>
      </c>
      <c r="C29" s="22">
        <v>100000000</v>
      </c>
      <c r="D29" s="22"/>
      <c r="E29" s="14">
        <f t="shared" si="2"/>
        <v>119000000</v>
      </c>
      <c r="F29" s="14"/>
      <c r="G29" s="14"/>
      <c r="H29" s="3">
        <f t="shared" si="1"/>
        <v>19000000</v>
      </c>
    </row>
    <row r="30" spans="1:20" x14ac:dyDescent="0.3">
      <c r="B30" s="1"/>
      <c r="C30" s="1"/>
      <c r="D30" s="3"/>
      <c r="E30" s="14"/>
      <c r="F30" s="14"/>
      <c r="G30" s="14"/>
    </row>
    <row r="31" spans="1:20" x14ac:dyDescent="0.3">
      <c r="B31" s="1"/>
      <c r="C31" s="1"/>
      <c r="D31" s="3"/>
      <c r="E31" s="14"/>
      <c r="F31" s="14"/>
      <c r="G31" s="14"/>
    </row>
    <row r="32" spans="1:20" x14ac:dyDescent="0.3">
      <c r="B32" s="1"/>
      <c r="C32" s="1"/>
      <c r="D32" s="3"/>
      <c r="E32" s="14"/>
      <c r="F32" s="14"/>
      <c r="G32" s="14"/>
    </row>
    <row r="33" spans="4:7" x14ac:dyDescent="0.3">
      <c r="D33" s="3"/>
      <c r="E33" s="14"/>
      <c r="F33" s="14"/>
      <c r="G33" s="14"/>
    </row>
  </sheetData>
  <mergeCells count="51">
    <mergeCell ref="E13:G13"/>
    <mergeCell ref="E14:G14"/>
    <mergeCell ref="E16:G16"/>
    <mergeCell ref="C27:D27"/>
    <mergeCell ref="C28:D28"/>
    <mergeCell ref="E11:G11"/>
    <mergeCell ref="E6:G6"/>
    <mergeCell ref="E8:G8"/>
    <mergeCell ref="E7:G7"/>
    <mergeCell ref="E12:G12"/>
    <mergeCell ref="B2:D2"/>
    <mergeCell ref="E3:G3"/>
    <mergeCell ref="E5:G5"/>
    <mergeCell ref="E9:G9"/>
    <mergeCell ref="E10:G10"/>
    <mergeCell ref="E15:G15"/>
    <mergeCell ref="E30:G30"/>
    <mergeCell ref="E31:G31"/>
    <mergeCell ref="E32:G32"/>
    <mergeCell ref="E33:G33"/>
    <mergeCell ref="E23:G23"/>
    <mergeCell ref="E27:G27"/>
    <mergeCell ref="E28:G28"/>
    <mergeCell ref="E29:G29"/>
    <mergeCell ref="E19:G19"/>
    <mergeCell ref="E20:G20"/>
    <mergeCell ref="E21:G21"/>
    <mergeCell ref="E22:G22"/>
    <mergeCell ref="B18:G18"/>
    <mergeCell ref="C29:D29"/>
    <mergeCell ref="B1:H1"/>
    <mergeCell ref="B25:G25"/>
    <mergeCell ref="E2:H2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3:D3"/>
    <mergeCell ref="C22:D22"/>
    <mergeCell ref="C23:D23"/>
    <mergeCell ref="C19:D19"/>
    <mergeCell ref="C20:D20"/>
    <mergeCell ref="C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Yepes</dc:creator>
  <cp:lastModifiedBy>Cesar Junior Ramirez Garcia</cp:lastModifiedBy>
  <dcterms:created xsi:type="dcterms:W3CDTF">2026-08-01T19:51:57Z</dcterms:created>
  <dcterms:modified xsi:type="dcterms:W3CDTF">2026-08-12T21:37:52Z</dcterms:modified>
</cp:coreProperties>
</file>