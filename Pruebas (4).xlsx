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e\Downloads\"/>
    </mc:Choice>
  </mc:AlternateContent>
  <xr:revisionPtr revIDLastSave="0" documentId="8_{A3EBFE7F-D4CC-488C-B3E9-09B19E09E356}" xr6:coauthVersionLast="47" xr6:coauthVersionMax="47" xr10:uidLastSave="{00000000-0000-0000-0000-000000000000}"/>
  <bookViews>
    <workbookView xWindow="-108" yWindow="-108" windowWidth="23256" windowHeight="13896" xr2:uid="{A341539E-57AF-4E9B-8F8B-21FDE69CDD76}"/>
  </bookViews>
  <sheets>
    <sheet name="PRUEB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 s="1"/>
  <c r="D15" i="1"/>
  <c r="E15" i="1" s="1"/>
  <c r="D14" i="1"/>
  <c r="E14" i="1" s="1"/>
  <c r="D7" i="1"/>
  <c r="E7" i="1" s="1"/>
  <c r="D13" i="1"/>
  <c r="E13" i="1" s="1"/>
  <c r="D12" i="1"/>
  <c r="E12" i="1" s="1"/>
  <c r="D8" i="1"/>
  <c r="E8" i="1" s="1"/>
  <c r="D9" i="1"/>
  <c r="E9" i="1" s="1"/>
  <c r="D10" i="1"/>
  <c r="E10" i="1" s="1"/>
  <c r="D11" i="1"/>
  <c r="E11" i="1" s="1"/>
  <c r="D6" i="1"/>
  <c r="E6" i="1" s="1"/>
  <c r="D5" i="1"/>
  <c r="E5" i="1" s="1"/>
</calcChain>
</file>

<file path=xl/sharedStrings.xml><?xml version="1.0" encoding="utf-8"?>
<sst xmlns="http://schemas.openxmlformats.org/spreadsheetml/2006/main" count="36" uniqueCount="31">
  <si>
    <t>VALORES ENTRADA</t>
  </si>
  <si>
    <t>VALORES SALIDA</t>
  </si>
  <si>
    <t># Servicios</t>
  </si>
  <si>
    <t>Valor Unitario</t>
  </si>
  <si>
    <t>Iva</t>
  </si>
  <si>
    <t>Valor a pagar</t>
  </si>
  <si>
    <t>CASOS DE PRUEBA</t>
  </si>
  <si>
    <t>GAMMA</t>
  </si>
  <si>
    <t>LOCERIA</t>
  </si>
  <si>
    <t>ENKA</t>
  </si>
  <si>
    <t>CRYOGAS_GATEWAYS</t>
  </si>
  <si>
    <t>CLIENTE</t>
  </si>
  <si>
    <t>CRYOGAS_SENSORES</t>
  </si>
  <si>
    <t>CASOS DE ERROR</t>
  </si>
  <si>
    <t>CORLANC_abril</t>
  </si>
  <si>
    <t>  MATERIALES Y PINTURAS SABANETA_abril</t>
  </si>
  <si>
    <t>  MATERIALES Y PINTURAS SABANETA_enero_febrero_marzo</t>
  </si>
  <si>
    <t>CORLANC_enero_febrero_marzo</t>
  </si>
  <si>
    <t>MOLDES ITAGUI_enero_febrero_marzo</t>
  </si>
  <si>
    <t>CALCINACION_enero_febrero_marzo</t>
  </si>
  <si>
    <t>CALCINACION_abril_mayo_junio</t>
  </si>
  <si>
    <t>MOLDES_ITAGUI_enero_febrero_marzo</t>
  </si>
  <si>
    <t>575662.5</t>
  </si>
  <si>
    <t>VALOR EXPERADO</t>
  </si>
  <si>
    <t>IVA</t>
  </si>
  <si>
    <t>VALOR UNITARIO</t>
  </si>
  <si>
    <t>Si el número de servicios es 0, el cálculo no corresponde al valor esperado de $575.662,5 para 2 servicios con un valor unitario de $241.875 e IVA de $91.913.</t>
  </si>
  <si>
    <t>Si el valor unitario es 0, el cálculo no corresponde al valor esperado de $1.999.200 para 1 servicio con un valor unitario de $1.680.000 e IVA de $319.200.</t>
  </si>
  <si>
    <t>Si el IVA es 0, el cálculo no corresponde al valor esperado de $1.785.000 para 1 servicio de $1.500.000, cuyo IVA corresponde a $285.000.</t>
  </si>
  <si>
    <t>Si se registran 4 servicios en lugar de los 3 meses correspondientes, se genera un valor diferente al esperado de $1.406.973. La orden de compra presenta un cobro superior al valor correcto.</t>
  </si>
  <si>
    <t>Si se registran 2 servicios en lugar de los 3 meses correspondientes, el cálculo no coincide con el valor esperado de $5.627.898.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</si>
</sst>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1" fontId="5" fillId="0" borderId="0" xfId="0" applyNumberFormat="1" applyFont="1" applyAlignment="1">
      <alignment vertical="center"/>
    </xf>
    <xf numFmtId="0" fontId="6" fillId="0" borderId="0" xfId="0" applyFont="1"/>
    <xf numFmtId="1" fontId="6" fillId="0" borderId="0" xfId="0" applyNumberFormat="1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7F8-E062-4BF1-92E8-B25DD6E51D05}">
  <dimension ref="A1:T33"/>
  <sheetViews>
    <sheetView tabSelected="1" zoomScale="90" workbookViewId="0">
      <selection activeCell="D31" sqref="D31"/>
    </sheetView>
  </sheetViews>
  <sheetFormatPr defaultColWidth="11.5546875" defaultRowHeight="14.4" x14ac:dyDescent="0.3"/>
  <cols>
    <col min="1" max="1" width="54.88671875" bestFit="1" customWidth="1"/>
    <col min="3" max="3" width="16.44140625" customWidth="1"/>
    <col min="12" max="12" width="12.33203125" customWidth="1"/>
  </cols>
  <sheetData>
    <row r="1" spans="1:13" x14ac:dyDescent="0.3">
      <c r="B1" s="19" t="s">
        <v>6</v>
      </c>
      <c r="C1" s="19"/>
      <c r="D1" s="19"/>
      <c r="E1" s="19"/>
      <c r="F1" s="19"/>
      <c r="G1" s="19"/>
    </row>
    <row r="2" spans="1:13" x14ac:dyDescent="0.3">
      <c r="B2" s="18" t="s">
        <v>0</v>
      </c>
      <c r="C2" s="18"/>
      <c r="D2" s="18"/>
      <c r="E2" s="18" t="s">
        <v>1</v>
      </c>
      <c r="F2" s="18"/>
      <c r="G2" s="18"/>
    </row>
    <row r="3" spans="1:13" x14ac:dyDescent="0.3">
      <c r="A3" s="10" t="s">
        <v>11</v>
      </c>
      <c r="B3" s="8" t="s">
        <v>2</v>
      </c>
      <c r="C3" s="8" t="s">
        <v>3</v>
      </c>
      <c r="D3" s="7" t="s">
        <v>4</v>
      </c>
      <c r="E3" s="18" t="s">
        <v>5</v>
      </c>
      <c r="F3" s="18"/>
      <c r="G3" s="18"/>
    </row>
    <row r="4" spans="1:13" x14ac:dyDescent="0.3">
      <c r="A4" s="1"/>
      <c r="B4" s="1"/>
      <c r="C4" s="1"/>
      <c r="D4" s="1"/>
      <c r="E4" s="1"/>
      <c r="F4" s="1"/>
      <c r="G4" s="1"/>
    </row>
    <row r="5" spans="1:13" x14ac:dyDescent="0.3">
      <c r="A5" s="5" t="s">
        <v>7</v>
      </c>
      <c r="B5" s="5">
        <v>1</v>
      </c>
      <c r="C5" s="3">
        <v>1741500</v>
      </c>
      <c r="D5" s="3">
        <f t="shared" ref="D5:D16" si="0">(B5*C5)*19%</f>
        <v>330885</v>
      </c>
      <c r="E5" s="15">
        <f>(C5*B5)+D5</f>
        <v>2072385</v>
      </c>
      <c r="F5" s="15"/>
      <c r="G5" s="15"/>
      <c r="H5" s="2"/>
    </row>
    <row r="6" spans="1:13" x14ac:dyDescent="0.3">
      <c r="A6" s="5" t="s">
        <v>14</v>
      </c>
      <c r="B6" s="5">
        <v>2</v>
      </c>
      <c r="C6" s="5">
        <v>241875</v>
      </c>
      <c r="D6" s="4">
        <f t="shared" si="0"/>
        <v>91912.5</v>
      </c>
      <c r="E6" s="16">
        <f t="shared" ref="E6" si="1">(C6*B6)+D6</f>
        <v>575662.5</v>
      </c>
      <c r="F6" s="16"/>
      <c r="G6" s="16"/>
      <c r="H6" s="2"/>
    </row>
    <row r="7" spans="1:13" x14ac:dyDescent="0.3">
      <c r="A7" s="5" t="s">
        <v>17</v>
      </c>
      <c r="B7" s="1">
        <v>1</v>
      </c>
      <c r="C7" s="9">
        <v>738958</v>
      </c>
      <c r="D7" s="4">
        <f t="shared" si="0"/>
        <v>140402.01999999999</v>
      </c>
      <c r="E7" s="16">
        <f t="shared" ref="E7" si="2">(C7*B7)+D7</f>
        <v>879360.02</v>
      </c>
      <c r="F7" s="16"/>
      <c r="G7" s="16"/>
      <c r="H7" s="2"/>
    </row>
    <row r="8" spans="1:13" x14ac:dyDescent="0.3">
      <c r="A8" s="5" t="s">
        <v>8</v>
      </c>
      <c r="B8" s="5">
        <v>1</v>
      </c>
      <c r="C8" s="3">
        <v>3483000</v>
      </c>
      <c r="D8" s="4">
        <f t="shared" si="0"/>
        <v>661770</v>
      </c>
      <c r="E8" s="15">
        <f>(C8*B8)+D8</f>
        <v>4144770</v>
      </c>
      <c r="F8" s="15"/>
      <c r="G8" s="15"/>
      <c r="H8" s="2"/>
    </row>
    <row r="9" spans="1:13" x14ac:dyDescent="0.3">
      <c r="A9" s="5" t="s">
        <v>9</v>
      </c>
      <c r="B9" s="5">
        <v>1</v>
      </c>
      <c r="C9" s="3">
        <v>1680000</v>
      </c>
      <c r="D9" s="4">
        <f t="shared" si="0"/>
        <v>319200</v>
      </c>
      <c r="E9" s="15">
        <f>(C9*B9)+D9</f>
        <v>1999200</v>
      </c>
      <c r="F9" s="15"/>
      <c r="G9" s="15"/>
      <c r="H9" s="2"/>
    </row>
    <row r="10" spans="1:13" x14ac:dyDescent="0.3">
      <c r="A10" s="3" t="s">
        <v>10</v>
      </c>
      <c r="B10" s="5">
        <v>1</v>
      </c>
      <c r="C10" s="6">
        <v>6820000</v>
      </c>
      <c r="D10" s="4">
        <f t="shared" si="0"/>
        <v>1295800</v>
      </c>
      <c r="E10" s="15">
        <f>(C10*B10)+D10</f>
        <v>8115800</v>
      </c>
      <c r="F10" s="15"/>
      <c r="G10" s="15"/>
      <c r="H10" s="2"/>
    </row>
    <row r="11" spans="1:13" x14ac:dyDescent="0.3">
      <c r="A11" s="5" t="s">
        <v>12</v>
      </c>
      <c r="B11" s="5">
        <v>1</v>
      </c>
      <c r="C11" s="6">
        <v>1500000</v>
      </c>
      <c r="D11" s="4">
        <f t="shared" si="0"/>
        <v>285000</v>
      </c>
      <c r="E11" s="15">
        <f t="shared" ref="E11:E13" si="3">(C11*B11)+D11</f>
        <v>1785000</v>
      </c>
      <c r="F11" s="15"/>
      <c r="G11" s="15"/>
      <c r="H11" s="2"/>
    </row>
    <row r="12" spans="1:13" x14ac:dyDescent="0.3">
      <c r="A12" s="3" t="s">
        <v>15</v>
      </c>
      <c r="B12" s="5">
        <v>1</v>
      </c>
      <c r="C12" s="3">
        <v>411188</v>
      </c>
      <c r="D12" s="4">
        <f t="shared" si="0"/>
        <v>78125.72</v>
      </c>
      <c r="E12" s="15">
        <f t="shared" si="3"/>
        <v>489313.72</v>
      </c>
      <c r="F12" s="15"/>
      <c r="G12" s="15"/>
      <c r="H12" s="2"/>
    </row>
    <row r="13" spans="1:13" x14ac:dyDescent="0.3">
      <c r="A13" s="3" t="s">
        <v>16</v>
      </c>
      <c r="B13" s="4">
        <v>1</v>
      </c>
      <c r="C13" s="3">
        <v>1330123</v>
      </c>
      <c r="D13" s="4">
        <f t="shared" si="0"/>
        <v>252723.37</v>
      </c>
      <c r="E13" s="16">
        <f t="shared" si="3"/>
        <v>1582846.37</v>
      </c>
      <c r="F13" s="16"/>
      <c r="G13" s="16"/>
      <c r="H13" s="2"/>
    </row>
    <row r="14" spans="1:13" x14ac:dyDescent="0.3">
      <c r="A14" s="5" t="s">
        <v>18</v>
      </c>
      <c r="B14" s="5">
        <v>3</v>
      </c>
      <c r="C14" s="5">
        <v>394110</v>
      </c>
      <c r="D14" s="4">
        <f t="shared" si="0"/>
        <v>224642.7</v>
      </c>
      <c r="E14" s="16">
        <f t="shared" ref="E14:E15" si="4">(C14*B14)+D14</f>
        <v>1406972.7</v>
      </c>
      <c r="F14" s="16"/>
      <c r="G14" s="16"/>
      <c r="H14" s="2"/>
    </row>
    <row r="15" spans="1:13" x14ac:dyDescent="0.3">
      <c r="A15" s="1" t="s">
        <v>19</v>
      </c>
      <c r="B15" s="5">
        <v>3</v>
      </c>
      <c r="C15" s="1">
        <v>1576442</v>
      </c>
      <c r="D15" s="4">
        <f t="shared" si="0"/>
        <v>898571.94000000006</v>
      </c>
      <c r="E15" s="16">
        <f t="shared" si="4"/>
        <v>5627897.9400000004</v>
      </c>
      <c r="F15" s="16"/>
      <c r="G15" s="16"/>
    </row>
    <row r="16" spans="1:13" x14ac:dyDescent="0.3">
      <c r="A16" s="1" t="s">
        <v>20</v>
      </c>
      <c r="B16" s="1">
        <v>3</v>
      </c>
      <c r="C16" s="1">
        <v>145125</v>
      </c>
      <c r="D16" s="4">
        <f t="shared" si="0"/>
        <v>82721.25</v>
      </c>
      <c r="E16" s="16">
        <f t="shared" ref="E16" si="5">(C16*B16)+D16</f>
        <v>518096.25</v>
      </c>
      <c r="F16" s="16"/>
      <c r="G16" s="16"/>
      <c r="I16" s="12"/>
      <c r="J16" s="12"/>
      <c r="K16" s="12"/>
      <c r="L16" s="12"/>
      <c r="M16" s="13"/>
    </row>
    <row r="17" spans="1:20" x14ac:dyDescent="0.3">
      <c r="A17" s="1"/>
      <c r="B17" s="11"/>
      <c r="C17" s="11"/>
      <c r="D17" s="11"/>
      <c r="E17" s="11"/>
      <c r="F17" s="11"/>
      <c r="G17" s="11"/>
    </row>
    <row r="18" spans="1:20" x14ac:dyDescent="0.3">
      <c r="A18" s="1"/>
      <c r="B18" s="17" t="s">
        <v>13</v>
      </c>
      <c r="C18" s="17"/>
      <c r="D18" s="17"/>
      <c r="E18" s="17"/>
      <c r="F18" s="17"/>
      <c r="G18" s="17"/>
    </row>
    <row r="19" spans="1:20" x14ac:dyDescent="0.3">
      <c r="B19" s="7" t="s">
        <v>2</v>
      </c>
      <c r="C19" s="7" t="s">
        <v>25</v>
      </c>
      <c r="D19" s="20" t="s">
        <v>24</v>
      </c>
      <c r="E19" s="21" t="s">
        <v>23</v>
      </c>
      <c r="F19" s="21"/>
      <c r="G19" s="21"/>
    </row>
    <row r="20" spans="1:20" x14ac:dyDescent="0.3">
      <c r="A20" s="1" t="s">
        <v>14</v>
      </c>
      <c r="B20" s="1">
        <v>0</v>
      </c>
      <c r="C20" s="1">
        <v>241875</v>
      </c>
      <c r="D20" s="4">
        <v>91913</v>
      </c>
      <c r="E20" s="16" t="s">
        <v>22</v>
      </c>
      <c r="F20" s="16"/>
      <c r="G20" s="16"/>
      <c r="I20" s="14" t="s">
        <v>26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3">
      <c r="A21" s="5" t="s">
        <v>9</v>
      </c>
      <c r="B21" s="5">
        <v>1</v>
      </c>
      <c r="C21" s="3">
        <v>0</v>
      </c>
      <c r="D21" s="4">
        <v>319200</v>
      </c>
      <c r="E21" s="15">
        <v>1999200</v>
      </c>
      <c r="F21" s="15"/>
      <c r="G21" s="15"/>
      <c r="I21" s="14" t="s">
        <v>27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3">
      <c r="A22" s="1" t="s">
        <v>12</v>
      </c>
      <c r="B22" s="1">
        <v>1</v>
      </c>
      <c r="C22" s="1">
        <v>1500000</v>
      </c>
      <c r="D22" s="4">
        <v>0</v>
      </c>
      <c r="E22" s="15">
        <v>1785000</v>
      </c>
      <c r="F22" s="15"/>
      <c r="G22" s="15"/>
      <c r="I22" s="14" t="s">
        <v>28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3">
      <c r="A23" s="1" t="s">
        <v>21</v>
      </c>
      <c r="B23" s="1">
        <v>4</v>
      </c>
      <c r="C23" s="1">
        <v>394110</v>
      </c>
      <c r="D23" s="4">
        <v>224643</v>
      </c>
      <c r="E23" s="15">
        <v>1406973</v>
      </c>
      <c r="F23" s="15"/>
      <c r="G23" s="15"/>
      <c r="I23" s="14" t="s">
        <v>29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x14ac:dyDescent="0.3">
      <c r="A24" s="1" t="s">
        <v>19</v>
      </c>
      <c r="B24" s="1">
        <v>2</v>
      </c>
      <c r="C24" s="1">
        <v>1576442</v>
      </c>
      <c r="D24" s="4">
        <v>898572</v>
      </c>
      <c r="E24" s="15">
        <v>5627898</v>
      </c>
      <c r="F24" s="15"/>
      <c r="G24" s="15"/>
      <c r="I24" s="14" t="s">
        <v>30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3">
      <c r="B25" s="1"/>
      <c r="C25" s="1"/>
      <c r="D25" s="4"/>
      <c r="E25" s="15"/>
      <c r="F25" s="15"/>
      <c r="G25" s="15"/>
    </row>
    <row r="26" spans="1:20" x14ac:dyDescent="0.3">
      <c r="B26" s="1"/>
      <c r="C26" s="1"/>
      <c r="D26" s="4"/>
      <c r="E26" s="15"/>
      <c r="F26" s="15"/>
      <c r="G26" s="15"/>
    </row>
    <row r="27" spans="1:20" x14ac:dyDescent="0.3">
      <c r="B27" s="1"/>
      <c r="C27" s="1"/>
      <c r="D27" s="4"/>
      <c r="E27" s="15"/>
      <c r="F27" s="15"/>
      <c r="G27" s="15"/>
    </row>
    <row r="28" spans="1:20" x14ac:dyDescent="0.3">
      <c r="B28" s="1"/>
      <c r="C28" s="1"/>
      <c r="D28" s="4"/>
      <c r="E28" s="15"/>
      <c r="F28" s="15"/>
      <c r="G28" s="15"/>
    </row>
    <row r="29" spans="1:20" x14ac:dyDescent="0.3">
      <c r="B29" s="1"/>
      <c r="C29" s="1"/>
      <c r="D29" s="4"/>
      <c r="E29" s="15"/>
      <c r="F29" s="15"/>
      <c r="G29" s="15"/>
    </row>
    <row r="30" spans="1:20" x14ac:dyDescent="0.3">
      <c r="B30" s="1"/>
      <c r="C30" s="1"/>
      <c r="D30" s="4"/>
      <c r="E30" s="15"/>
      <c r="F30" s="15"/>
      <c r="G30" s="15"/>
    </row>
    <row r="31" spans="1:20" x14ac:dyDescent="0.3">
      <c r="B31" s="1"/>
      <c r="C31" s="1"/>
      <c r="D31" s="4"/>
      <c r="E31" s="15"/>
      <c r="F31" s="15"/>
      <c r="G31" s="15"/>
    </row>
    <row r="32" spans="1:20" x14ac:dyDescent="0.3">
      <c r="B32" s="1"/>
      <c r="C32" s="1"/>
      <c r="D32" s="4"/>
      <c r="E32" s="15"/>
      <c r="F32" s="15"/>
      <c r="G32" s="15"/>
    </row>
    <row r="33" spans="4:7" x14ac:dyDescent="0.3">
      <c r="D33" s="4"/>
      <c r="E33" s="15"/>
      <c r="F33" s="15"/>
      <c r="G33" s="15"/>
    </row>
  </sheetData>
  <mergeCells count="32">
    <mergeCell ref="E23:G23"/>
    <mergeCell ref="B2:D2"/>
    <mergeCell ref="E2:G2"/>
    <mergeCell ref="E3:G3"/>
    <mergeCell ref="B1:G1"/>
    <mergeCell ref="E5:G5"/>
    <mergeCell ref="E9:G9"/>
    <mergeCell ref="E10:G10"/>
    <mergeCell ref="E11:G11"/>
    <mergeCell ref="E6:G6"/>
    <mergeCell ref="E8:G8"/>
    <mergeCell ref="E7:G7"/>
    <mergeCell ref="E12:G12"/>
    <mergeCell ref="E13:G13"/>
    <mergeCell ref="E14:G14"/>
    <mergeCell ref="E16:G16"/>
    <mergeCell ref="E15:G15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29:G29"/>
    <mergeCell ref="E19:G19"/>
    <mergeCell ref="E20:G20"/>
    <mergeCell ref="E21:G21"/>
    <mergeCell ref="E22:G22"/>
    <mergeCell ref="B18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Yepes</dc:creator>
  <cp:lastModifiedBy>Cesar Junior Ramirez Garcia</cp:lastModifiedBy>
  <dcterms:created xsi:type="dcterms:W3CDTF">2026-08-01T19:51:57Z</dcterms:created>
  <dcterms:modified xsi:type="dcterms:W3CDTF">2026-08-10T17:56:48Z</dcterms:modified>
</cp:coreProperties>
</file>